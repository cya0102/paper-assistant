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失败明细" sheetId="1" r:id="rId1"/>
    <sheet name="错误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<sst xmlns="http://schemas.openxmlformats.org/spreadsheetml/2006/main" count="178" uniqueCount="67">
  <si>
    <t>PDF 文件名</t>
  </si>
  <si>
    <t>错误代码</t>
  </si>
  <si>
    <t>错误原因</t>
  </si>
  <si>
    <t>失败时间</t>
  </si>
  <si>
    <t>Zero-Shot_Video_Grounding_With_Pseudo_Query_Lookup_and_Verification.pdf</t>
  </si>
  <si>
    <t>parse_failed</t>
  </si>
  <si>
    <t>Poppler 生成的布局 XML 无效：not well-formed (invalid token): line 4509, column 88</t>
  </si>
  <si>
    <t>AAAI19-To Find Where You Talk Temporal Sentence Localization in Video with Attention Based Location Regression.pdf</t>
  </si>
  <si>
    <t>structure_failed</t>
  </si>
  <si>
    <t>PostgreSQL 文本字段不能包含 NUL (0x00) 字节；PDF 解析文本中含空字符。</t>
  </si>
  <si>
    <t>AAAI24-Gaussian Mixture Proposals with Pull-Push Learning Scheme to Capture Diverse Events for Weakly Supervised Temporal Video Grounding.pdf</t>
  </si>
  <si>
    <t>AAAI25-Multi-Scale Contrastive Learning for Video Temporal Grounding.pdf</t>
  </si>
  <si>
    <t>ACL24-RAP Efficient Text-Video Retrieval with Sparse-and-Correlated Adapter.pdf</t>
  </si>
  <si>
    <t>ACMMM23-Counterfactual Cross-modality Reasoning for Weakly Supervised Video Moment Localization.pdf</t>
  </si>
  <si>
    <t>ACMMM24_Learnable Negative Proposals Using Dual-Signed Cross-Entropy Loss for Weakly Supervised Video Moment Localization.pdf</t>
  </si>
  <si>
    <t>ACMMM24_Prior Knowledge Integration via LLM Encoding and Pseudo Event Regulation for Video Moment Retrieval.pdf</t>
  </si>
  <si>
    <t>ACMMM24-Learnable Negative Proposals Using Dual-Signed Cross-Entropy Loss for Weakly Supervised Video Moment Localization.pdf</t>
  </si>
  <si>
    <t>Activity-driven Weakly-Supervised Spatio-Temporal Grounding from Untrimmed Videos.pdf</t>
  </si>
  <si>
    <t>Beyond Uncertainty Evidential Deep Learning for Robust Video Temporal Grounding.pdf</t>
  </si>
  <si>
    <t>Bias-Conflict Sample Synthesis and Adversarial Removal Debias Strategy for Temporal Sentence Grounding in Video.pdf</t>
  </si>
  <si>
    <t>Chen_Multi-Modal_Dynamic_Graph_Transformer_for_Visual_Grounding_CVPR_2022_paper.pdf</t>
  </si>
  <si>
    <t>CVPR26-GroundVTS- Visual Token Sampling in Multimodal Large Language Models for Video Temporal Grounding.pdf</t>
  </si>
  <si>
    <t>Efficient_Video_Grounding_With_Which-Where_Reading_Comprehension.pdf</t>
  </si>
  <si>
    <t>Embracing Consistency A One-Stage Approach for Spatio-Temporal Video Grounding.pdf</t>
  </si>
  <si>
    <t>Exploiting auxiliary caption for video grounding.pdf</t>
  </si>
  <si>
    <t>GTLR_Graph-Based_Transformer_with_Language_Reconstruction_for_Video_Paragraph_Grounding.pdf</t>
  </si>
  <si>
    <t>ICML26-Video-OPD- Efficient Post-Training of Multimodal Large Language Models for Temporal Video Grounding via On-Policy Distillation.pdf</t>
  </si>
  <si>
    <t>ICML26-VideoTemp-o3- Harmonizing Temporal Grounding and Video Understanding in Agentic Thinking-with-Videos.pdf</t>
  </si>
  <si>
    <t>Improving Panoptic Narrative Grounding by Harnessing Semantic Relationships and Visual Confirmation.pdf</t>
  </si>
  <si>
    <t>Improving_Visual_Grounding_with_Visual-Linguistic_Verification_and_Iterative_Reasoning.pdf</t>
  </si>
  <si>
    <t>Joint Searching and Grounding Multi-Granularity Video.pdf</t>
  </si>
  <si>
    <t>Localizing moments in video with natural language.pdf</t>
  </si>
  <si>
    <t>Mixup-augmented temporally debiased video grounding with content-location disentanglement.pdf</t>
  </si>
  <si>
    <t>MM24-Learnable Negative Proposals Using Dual-Signed Cross-Entropy Loss for Weakly Supervised Video Moment Localization.pdf</t>
  </si>
  <si>
    <t>Mrtnet_Multi-Resolution_Temporal_Network_for_Video_Sentence_Grounding.pdf</t>
  </si>
  <si>
    <t>Multi-Scale Contrastive Learning for Video Temporal Grounding.pdf</t>
  </si>
  <si>
    <t>Negative sample matters A renaissance of metric learning for temporal grounding.pdf</t>
  </si>
  <si>
    <t>NeurIPS-2021-explainable-semantic-space-by-grounding-language-to-vision-with-cross-modal-contrastive-learning-Paper.pdf</t>
  </si>
  <si>
    <t>NeurIPS-2021-look-at-what-im-doing-self-supervised-spatial-grounding-of-narrations-in-instructional-videos-Paper.pdf</t>
  </si>
  <si>
    <t>NeurIPS-2022-embracing-consistency-a-one-stage-approach-for-spatio-temporal-video-grounding-Paper-Conference.pdf</t>
  </si>
  <si>
    <t>NeurIPS-2023-exploiting-contextual-objects-and-relations-for-3d-visual-grounding-Paper-Conference.pdf</t>
  </si>
  <si>
    <t>NeurIPS25-SpikingVTG- A Spiking Detection Transformer for Video Temporal Grounding.pdf</t>
  </si>
  <si>
    <t>NeurIPS25-Universal Video Temporal Grounding with Generative Multi-modal Large Language Models.pdf</t>
  </si>
  <si>
    <t>One-stage visual grounding via semantic-aware feature filter.pdf</t>
  </si>
  <si>
    <t>Position-aware_Location_Regression_Network_for_Temporal_Video_Grounding.pdf</t>
  </si>
  <si>
    <t>Proposal-free video grounding with contextual pyramid network.pdf</t>
  </si>
  <si>
    <t>Rethinking Weakly-Supervised Video Temporal Grounding From a Game Perspective.pdf</t>
  </si>
  <si>
    <t>Span-based Localizing Network for Natural Language Video Localization.pdf</t>
  </si>
  <si>
    <t>STDNet_Spatio-Temporal_Decomposed_Network_for_Video_Grounding.pdf</t>
  </si>
  <si>
    <t>Support-Set_Based_Cross-Supervision_for_Video_Grounding.pdf</t>
  </si>
  <si>
    <t>TCSVT25-Weakly Supervised Temporal Sentence Grounding via Positive Sample Mining.pdf</t>
  </si>
  <si>
    <t>TCSVT26-Annotation-Efficient Hybrid Learning for Temporal Sentence Grounding.pdf</t>
  </si>
  <si>
    <t>Text-Visual_Prompting_for_Efficient_2D_Temporal_Video_Grounding_CVPR_2023_paper.pdf</t>
  </si>
  <si>
    <t>Tian_Holistic_Features_are_almost_Sufficient_for_Text-to-Video_Retrieval_CVPR_2024_paper.pdf</t>
  </si>
  <si>
    <t>TIP26-ActPrompt- In-Domain Feature Adaptation via Action Cues for Video Temporal Grounding.pdf</t>
  </si>
  <si>
    <t>TMM26-Dual-Branch Collaborative Implicit-Explicit Mutual Learning for Weakly Supervised Video-Sentence Retrieval and Grounding.pdf</t>
  </si>
  <si>
    <t>TMM26-Finding Optimal Video Moment without Training- Gaussian Boundary Optimization for Weakly Supervised Video Grounding.pdf</t>
  </si>
  <si>
    <t>Towards real-time panoptic narrative grounding by an end-to-end grounding network.pdf</t>
  </si>
  <si>
    <t>Towards_Long-Form_Video_Understanding_CVPR_2021_paper.pdf</t>
  </si>
  <si>
    <t>Towards_Visual-Prompt_Temporal_Answer_Grounding_in_Instructional_Video.pdf</t>
  </si>
  <si>
    <t>UniVTG_Towards_Unified_Video-Language_Temporal_Grounding_ICCV_2023_paper.pdf</t>
  </si>
  <si>
    <t>Visual-Semantic_Graph_Matching_for_Visual_Grounding.pdf</t>
  </si>
  <si>
    <t>Weakly-Supervised_Video_Object_Grounding_by_Exploring_Spatio-Temporal_Contexts.pdf</t>
  </si>
  <si>
    <t>Zero-shot video grounding with pseudo query lookup and verification.pdf</t>
  </si>
  <si>
    <t>Paper Agent 失败文件报告</t>
  </si>
  <si>
    <t>失败文件总数</t>
  </si>
  <si>
    <t>文件数量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</si>
</sst>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5">
    <font>
      <sz val="11"/>
      <name val="Carlito"/>
      <charset val="134"/>
    </font>
    <font>
      <b/>
      <sz val="16"/>
      <color rgb="FFFFFFFF"/>
      <name val="Aptos Display"/>
      <charset val="134"/>
    </font>
    <font>
      <b/>
      <sz val="11"/>
      <color rgb="FF17365D"/>
      <name val="Aptos"/>
      <charset val="134"/>
    </font>
    <font>
      <b/>
      <sz val="10"/>
      <color rgb="FFFFFFFF"/>
      <name val="Aptos"/>
      <charset val="134"/>
    </font>
    <font>
      <sz val="10"/>
      <color rgb="FF172033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9FBA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/>
    </xf>
    <xf numFmtId="3" fontId="2" fillId="3" borderId="2" xfId="49" applyNumberFormat="1" applyFont="1" applyFill="1" applyBorder="1" applyAlignment="1">
      <alignment vertical="center"/>
    </xf>
    <xf numFmtId="0" fontId="3" fillId="4" borderId="3" xfId="49" applyNumberFormat="1" applyFont="1" applyFill="1" applyBorder="1"/>
    <xf numFmtId="0" fontId="4" fillId="0" borderId="4" xfId="49" applyNumberFormat="1" applyFont="1" applyFill="1" applyBorder="1"/>
    <xf numFmtId="3" fontId="4" fillId="0" borderId="4" xfId="49" applyNumberFormat="1" applyFont="1" applyFill="1" applyBorder="1"/>
    <xf numFmtId="0" fontId="4" fillId="0" borderId="5" xfId="49" applyNumberFormat="1" applyFont="1" applyFill="1" applyBorder="1"/>
    <xf numFmtId="3" fontId="4" fillId="0" borderId="5" xfId="49" applyNumberFormat="1" applyFont="1" applyFill="1" applyBorder="1"/>
    <xf numFmtId="0" fontId="3" fillId="5" borderId="3" xfId="49" applyNumberFormat="1" applyFont="1" applyFill="1" applyBorder="1" applyAlignment="1">
      <alignment vertical="center"/>
    </xf>
    <xf numFmtId="0" fontId="4" fillId="0" borderId="4" xfId="49" applyNumberFormat="1" applyFont="1" applyFill="1" applyBorder="1" applyAlignment="1">
      <alignment vertical="top" wrapText="1"/>
    </xf>
    <xf numFmtId="0" fontId="4" fillId="0" borderId="4" xfId="49" applyNumberFormat="1" applyFont="1" applyFill="1" applyBorder="1" applyAlignment="1">
      <alignment vertical="top"/>
    </xf>
    <xf numFmtId="176" fontId="4" fillId="0" borderId="4" xfId="49" applyNumberFormat="1" applyFont="1" applyFill="1" applyBorder="1" applyAlignment="1">
      <alignment vertical="top"/>
    </xf>
    <xf numFmtId="0" fontId="4" fillId="0" borderId="5" xfId="49" applyNumberFormat="1" applyFont="1" applyFill="1" applyBorder="1" applyAlignment="1">
      <alignment vertical="top" wrapText="1"/>
    </xf>
    <xf numFmtId="0" fontId="4" fillId="0" borderId="5" xfId="49" applyNumberFormat="1" applyFont="1" applyFill="1" applyBorder="1" applyAlignment="1">
      <alignment vertical="top"/>
    </xf>
    <xf numFmtId="176" fontId="4" fillId="0" borderId="5" xfId="49" applyNumberFormat="1" applyFont="1" applyFill="1" applyBorder="1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ailedFilesTable" displayName="FailedFilesTable" ref="A1:D57" totalsRowShown="0">
  <autoFilter xmlns:etc="http://www.wps.cn/officeDocument/2017/etCustomData" ref="A1:D57" etc:filterBottomFollowUsedRange="0"/>
  <tableColumns count="4">
    <tableColumn id="1" name="PDF 文件名"/>
    <tableColumn id="2" name="错误代码"/>
    <tableColumn id="3" name="错误原因"/>
    <tableColumn id="4" name="失败时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rrorSummaryTable" displayName="ErrorSummaryTable" ref="A5:B7" totalsRowShown="0">
  <tableColumns count="2">
    <tableColumn id="1" name="错误代码"/>
    <tableColumn id="2" name="文件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showGridLines="0" tabSelected="1" topLeftCell="A45" workbookViewId="0">
      <selection activeCell="B47" sqref="B47"/>
    </sheetView>
  </sheetViews>
  <sheetFormatPr defaultColWidth="9" defaultRowHeight="16.8" outlineLevelCol="3"/>
  <cols>
    <col min="1" max="1" width="58" customWidth="1"/>
    <col min="2" max="2" width="22" customWidth="1"/>
    <col min="3" max="3" width="62" customWidth="1"/>
    <col min="4" max="4" width="22" customWidth="1"/>
  </cols>
  <sheetData>
    <row r="1" ht="26" customHeight="1" spans="1:4">
      <c r="A1" s="9" t="s">
        <v>0</v>
      </c>
      <c r="B1" s="9" t="s">
        <v>1</v>
      </c>
      <c r="C1" s="9" t="s">
        <v>2</v>
      </c>
      <c r="D1" s="9" t="s">
        <v>3</v>
      </c>
    </row>
    <row r="2" ht="38" customHeight="1" spans="1:4">
      <c r="A2" s="10" t="s">
        <v>4</v>
      </c>
      <c r="B2" s="11" t="s">
        <v>5</v>
      </c>
      <c r="C2" s="10" t="s">
        <v>6</v>
      </c>
      <c r="D2" s="12">
        <v>46246.5556261458</v>
      </c>
    </row>
    <row r="3" ht="38" customHeight="1" spans="1:4">
      <c r="A3" s="10" t="s">
        <v>7</v>
      </c>
      <c r="B3" s="11" t="s">
        <v>8</v>
      </c>
      <c r="C3" s="10" t="s">
        <v>9</v>
      </c>
      <c r="D3" s="12">
        <v>46246.5541337616</v>
      </c>
    </row>
    <row r="4" ht="38" customHeight="1" spans="1:4">
      <c r="A4" s="10" t="s">
        <v>10</v>
      </c>
      <c r="B4" s="11" t="s">
        <v>8</v>
      </c>
      <c r="C4" s="10" t="s">
        <v>9</v>
      </c>
      <c r="D4" s="12">
        <v>46246.5541337616</v>
      </c>
    </row>
    <row r="5" ht="38" customHeight="1" spans="1:4">
      <c r="A5" s="10" t="s">
        <v>11</v>
      </c>
      <c r="B5" s="11" t="s">
        <v>8</v>
      </c>
      <c r="C5" s="10" t="s">
        <v>9</v>
      </c>
      <c r="D5" s="12">
        <v>46246.5541337616</v>
      </c>
    </row>
    <row r="6" ht="38" customHeight="1" spans="1:4">
      <c r="A6" s="10" t="s">
        <v>12</v>
      </c>
      <c r="B6" s="11" t="s">
        <v>8</v>
      </c>
      <c r="C6" s="10" t="s">
        <v>9</v>
      </c>
      <c r="D6" s="12">
        <v>46246.5541337616</v>
      </c>
    </row>
    <row r="7" ht="38" customHeight="1" spans="1:4">
      <c r="A7" s="10" t="s">
        <v>13</v>
      </c>
      <c r="B7" s="11" t="s">
        <v>8</v>
      </c>
      <c r="C7" s="10" t="s">
        <v>9</v>
      </c>
      <c r="D7" s="12">
        <v>46246.5541337616</v>
      </c>
    </row>
    <row r="8" ht="38" customHeight="1" spans="1:4">
      <c r="A8" s="10" t="s">
        <v>14</v>
      </c>
      <c r="B8" s="11" t="s">
        <v>8</v>
      </c>
      <c r="C8" s="10" t="s">
        <v>9</v>
      </c>
      <c r="D8" s="12">
        <v>46246.5541337616</v>
      </c>
    </row>
    <row r="9" ht="38" customHeight="1" spans="1:4">
      <c r="A9" s="10" t="s">
        <v>15</v>
      </c>
      <c r="B9" s="11" t="s">
        <v>8</v>
      </c>
      <c r="C9" s="10" t="s">
        <v>9</v>
      </c>
      <c r="D9" s="12">
        <v>46246.5541337616</v>
      </c>
    </row>
    <row r="10" ht="38" customHeight="1" spans="1:4">
      <c r="A10" s="10" t="s">
        <v>16</v>
      </c>
      <c r="B10" s="11" t="s">
        <v>8</v>
      </c>
      <c r="C10" s="10" t="s">
        <v>9</v>
      </c>
      <c r="D10" s="12">
        <v>46246.5541337616</v>
      </c>
    </row>
    <row r="11" ht="38" customHeight="1" spans="1:4">
      <c r="A11" s="10" t="s">
        <v>17</v>
      </c>
      <c r="B11" s="11" t="s">
        <v>8</v>
      </c>
      <c r="C11" s="10" t="s">
        <v>9</v>
      </c>
      <c r="D11" s="12">
        <v>46246.5541337616</v>
      </c>
    </row>
    <row r="12" ht="38" customHeight="1" spans="1:4">
      <c r="A12" s="10" t="s">
        <v>18</v>
      </c>
      <c r="B12" s="11" t="s">
        <v>8</v>
      </c>
      <c r="C12" s="10" t="s">
        <v>9</v>
      </c>
      <c r="D12" s="12">
        <v>46246.5541337616</v>
      </c>
    </row>
    <row r="13" ht="38" customHeight="1" spans="1:4">
      <c r="A13" s="10" t="s">
        <v>19</v>
      </c>
      <c r="B13" s="11" t="s">
        <v>8</v>
      </c>
      <c r="C13" s="10" t="s">
        <v>9</v>
      </c>
      <c r="D13" s="12">
        <v>46246.5541337616</v>
      </c>
    </row>
    <row r="14" ht="38" customHeight="1" spans="1:4">
      <c r="A14" s="10" t="s">
        <v>20</v>
      </c>
      <c r="B14" s="11" t="s">
        <v>8</v>
      </c>
      <c r="C14" s="10" t="s">
        <v>9</v>
      </c>
      <c r="D14" s="12">
        <v>46246.5541337616</v>
      </c>
    </row>
    <row r="15" ht="38" customHeight="1" spans="1:4">
      <c r="A15" s="10" t="s">
        <v>21</v>
      </c>
      <c r="B15" s="11" t="s">
        <v>8</v>
      </c>
      <c r="C15" s="10" t="s">
        <v>9</v>
      </c>
      <c r="D15" s="12">
        <v>46246.5541337616</v>
      </c>
    </row>
    <row r="16" ht="38" customHeight="1" spans="1:4">
      <c r="A16" s="10" t="s">
        <v>22</v>
      </c>
      <c r="B16" s="11" t="s">
        <v>8</v>
      </c>
      <c r="C16" s="10" t="s">
        <v>9</v>
      </c>
      <c r="D16" s="12">
        <v>46246.5541337616</v>
      </c>
    </row>
    <row r="17" ht="38" customHeight="1" spans="1:4">
      <c r="A17" s="10" t="s">
        <v>23</v>
      </c>
      <c r="B17" s="11" t="s">
        <v>8</v>
      </c>
      <c r="C17" s="10" t="s">
        <v>9</v>
      </c>
      <c r="D17" s="12">
        <v>46246.5541337616</v>
      </c>
    </row>
    <row r="18" ht="38" customHeight="1" spans="1:4">
      <c r="A18" s="10" t="s">
        <v>24</v>
      </c>
      <c r="B18" s="11" t="s">
        <v>8</v>
      </c>
      <c r="C18" s="10" t="s">
        <v>9</v>
      </c>
      <c r="D18" s="12">
        <v>46246.5541337616</v>
      </c>
    </row>
    <row r="19" ht="38" customHeight="1" spans="1:4">
      <c r="A19" s="10" t="s">
        <v>25</v>
      </c>
      <c r="B19" s="11" t="s">
        <v>8</v>
      </c>
      <c r="C19" s="10" t="s">
        <v>9</v>
      </c>
      <c r="D19" s="12">
        <v>46246.5541337616</v>
      </c>
    </row>
    <row r="20" ht="38" customHeight="1" spans="1:4">
      <c r="A20" s="10" t="s">
        <v>26</v>
      </c>
      <c r="B20" s="11" t="s">
        <v>8</v>
      </c>
      <c r="C20" s="10" t="s">
        <v>9</v>
      </c>
      <c r="D20" s="12">
        <v>46246.5541337616</v>
      </c>
    </row>
    <row r="21" ht="38" customHeight="1" spans="1:4">
      <c r="A21" s="10" t="s">
        <v>27</v>
      </c>
      <c r="B21" s="11" t="s">
        <v>8</v>
      </c>
      <c r="C21" s="10" t="s">
        <v>9</v>
      </c>
      <c r="D21" s="12">
        <v>46246.5541337616</v>
      </c>
    </row>
    <row r="22" ht="38" customHeight="1" spans="1:4">
      <c r="A22" s="10" t="s">
        <v>28</v>
      </c>
      <c r="B22" s="11" t="s">
        <v>8</v>
      </c>
      <c r="C22" s="10" t="s">
        <v>9</v>
      </c>
      <c r="D22" s="12">
        <v>46246.5541337616</v>
      </c>
    </row>
    <row r="23" ht="38" customHeight="1" spans="1:4">
      <c r="A23" s="10" t="s">
        <v>29</v>
      </c>
      <c r="B23" s="11" t="s">
        <v>8</v>
      </c>
      <c r="C23" s="10" t="s">
        <v>9</v>
      </c>
      <c r="D23" s="12">
        <v>46246.5541337616</v>
      </c>
    </row>
    <row r="24" ht="38" customHeight="1" spans="1:4">
      <c r="A24" s="10" t="s">
        <v>30</v>
      </c>
      <c r="B24" s="11" t="s">
        <v>8</v>
      </c>
      <c r="C24" s="10" t="s">
        <v>9</v>
      </c>
      <c r="D24" s="12">
        <v>46246.5541337616</v>
      </c>
    </row>
    <row r="25" ht="38" customHeight="1" spans="1:4">
      <c r="A25" s="10" t="s">
        <v>31</v>
      </c>
      <c r="B25" s="11" t="s">
        <v>8</v>
      </c>
      <c r="C25" s="10" t="s">
        <v>9</v>
      </c>
      <c r="D25" s="12">
        <v>46246.5541337616</v>
      </c>
    </row>
    <row r="26" ht="38" customHeight="1" spans="1:4">
      <c r="A26" s="10" t="s">
        <v>32</v>
      </c>
      <c r="B26" s="11" t="s">
        <v>8</v>
      </c>
      <c r="C26" s="10" t="s">
        <v>9</v>
      </c>
      <c r="D26" s="12">
        <v>46246.5541337616</v>
      </c>
    </row>
    <row r="27" ht="38" customHeight="1" spans="1:4">
      <c r="A27" s="10" t="s">
        <v>33</v>
      </c>
      <c r="B27" s="11" t="s">
        <v>8</v>
      </c>
      <c r="C27" s="10" t="s">
        <v>9</v>
      </c>
      <c r="D27" s="12">
        <v>46246.5541337616</v>
      </c>
    </row>
    <row r="28" ht="38" customHeight="1" spans="1:4">
      <c r="A28" s="10" t="s">
        <v>34</v>
      </c>
      <c r="B28" s="11" t="s">
        <v>8</v>
      </c>
      <c r="C28" s="10" t="s">
        <v>9</v>
      </c>
      <c r="D28" s="12">
        <v>46246.5541337616</v>
      </c>
    </row>
    <row r="29" ht="38" customHeight="1" spans="1:4">
      <c r="A29" s="10" t="s">
        <v>35</v>
      </c>
      <c r="B29" s="11" t="s">
        <v>8</v>
      </c>
      <c r="C29" s="10" t="s">
        <v>9</v>
      </c>
      <c r="D29" s="12">
        <v>46246.5541337616</v>
      </c>
    </row>
    <row r="30" ht="38" customHeight="1" spans="1:4">
      <c r="A30" s="10" t="s">
        <v>36</v>
      </c>
      <c r="B30" s="11" t="s">
        <v>8</v>
      </c>
      <c r="C30" s="10" t="s">
        <v>9</v>
      </c>
      <c r="D30" s="12">
        <v>46246.5541337616</v>
      </c>
    </row>
    <row r="31" ht="38" customHeight="1" spans="1:4">
      <c r="A31" s="10" t="s">
        <v>37</v>
      </c>
      <c r="B31" s="11" t="s">
        <v>8</v>
      </c>
      <c r="C31" s="10" t="s">
        <v>9</v>
      </c>
      <c r="D31" s="12">
        <v>46246.5541337616</v>
      </c>
    </row>
    <row r="32" ht="38" customHeight="1" spans="1:4">
      <c r="A32" s="10" t="s">
        <v>38</v>
      </c>
      <c r="B32" s="11" t="s">
        <v>8</v>
      </c>
      <c r="C32" s="10" t="s">
        <v>9</v>
      </c>
      <c r="D32" s="12">
        <v>46246.5541337616</v>
      </c>
    </row>
    <row r="33" ht="38" customHeight="1" spans="1:4">
      <c r="A33" s="10" t="s">
        <v>39</v>
      </c>
      <c r="B33" s="11" t="s">
        <v>8</v>
      </c>
      <c r="C33" s="10" t="s">
        <v>9</v>
      </c>
      <c r="D33" s="12">
        <v>46246.5541337616</v>
      </c>
    </row>
    <row r="34" ht="38" customHeight="1" spans="1:4">
      <c r="A34" s="10" t="s">
        <v>40</v>
      </c>
      <c r="B34" s="11" t="s">
        <v>8</v>
      </c>
      <c r="C34" s="10" t="s">
        <v>9</v>
      </c>
      <c r="D34" s="12">
        <v>46246.5541337616</v>
      </c>
    </row>
    <row r="35" ht="38" customHeight="1" spans="1:4">
      <c r="A35" s="10" t="s">
        <v>41</v>
      </c>
      <c r="B35" s="11" t="s">
        <v>8</v>
      </c>
      <c r="C35" s="10" t="s">
        <v>9</v>
      </c>
      <c r="D35" s="12">
        <v>46246.5541337616</v>
      </c>
    </row>
    <row r="36" ht="38" customHeight="1" spans="1:4">
      <c r="A36" s="10" t="s">
        <v>42</v>
      </c>
      <c r="B36" s="11" t="s">
        <v>8</v>
      </c>
      <c r="C36" s="10" t="s">
        <v>9</v>
      </c>
      <c r="D36" s="12">
        <v>46246.5541337616</v>
      </c>
    </row>
    <row r="37" ht="38" customHeight="1" spans="1:4">
      <c r="A37" s="10" t="s">
        <v>43</v>
      </c>
      <c r="B37" s="11" t="s">
        <v>8</v>
      </c>
      <c r="C37" s="10" t="s">
        <v>9</v>
      </c>
      <c r="D37" s="12">
        <v>46246.5541337616</v>
      </c>
    </row>
    <row r="38" ht="38" customHeight="1" spans="1:4">
      <c r="A38" s="10" t="s">
        <v>44</v>
      </c>
      <c r="B38" s="11" t="s">
        <v>8</v>
      </c>
      <c r="C38" s="10" t="s">
        <v>9</v>
      </c>
      <c r="D38" s="12">
        <v>46246.5541337616</v>
      </c>
    </row>
    <row r="39" ht="38" customHeight="1" spans="1:4">
      <c r="A39" s="10" t="s">
        <v>45</v>
      </c>
      <c r="B39" s="11" t="s">
        <v>8</v>
      </c>
      <c r="C39" s="10" t="s">
        <v>9</v>
      </c>
      <c r="D39" s="12">
        <v>46246.5541337616</v>
      </c>
    </row>
    <row r="40" ht="38" customHeight="1" spans="1:4">
      <c r="A40" s="10" t="s">
        <v>46</v>
      </c>
      <c r="B40" s="11" t="s">
        <v>8</v>
      </c>
      <c r="C40" s="10" t="s">
        <v>9</v>
      </c>
      <c r="D40" s="12">
        <v>46246.5541337616</v>
      </c>
    </row>
    <row r="41" ht="38" customHeight="1" spans="1:4">
      <c r="A41" s="10" t="s">
        <v>47</v>
      </c>
      <c r="B41" s="11" t="s">
        <v>8</v>
      </c>
      <c r="C41" s="10" t="s">
        <v>9</v>
      </c>
      <c r="D41" s="12">
        <v>46246.5541337616</v>
      </c>
    </row>
    <row r="42" ht="38" customHeight="1" spans="1:4">
      <c r="A42" s="10" t="s">
        <v>48</v>
      </c>
      <c r="B42" s="11" t="s">
        <v>8</v>
      </c>
      <c r="C42" s="10" t="s">
        <v>9</v>
      </c>
      <c r="D42" s="12">
        <v>46246.5541337616</v>
      </c>
    </row>
    <row r="43" ht="38" customHeight="1" spans="1:4">
      <c r="A43" s="10" t="s">
        <v>49</v>
      </c>
      <c r="B43" s="11" t="s">
        <v>8</v>
      </c>
      <c r="C43" s="10" t="s">
        <v>9</v>
      </c>
      <c r="D43" s="12">
        <v>46246.5541337616</v>
      </c>
    </row>
    <row r="44" ht="38" customHeight="1" spans="1:4">
      <c r="A44" s="10" t="s">
        <v>50</v>
      </c>
      <c r="B44" s="11" t="s">
        <v>8</v>
      </c>
      <c r="C44" s="10" t="s">
        <v>9</v>
      </c>
      <c r="D44" s="12">
        <v>46246.5541337616</v>
      </c>
    </row>
    <row r="45" ht="38" customHeight="1" spans="1:4">
      <c r="A45" s="10" t="s">
        <v>51</v>
      </c>
      <c r="B45" s="11" t="s">
        <v>8</v>
      </c>
      <c r="C45" s="10" t="s">
        <v>9</v>
      </c>
      <c r="D45" s="12">
        <v>46246.5541337616</v>
      </c>
    </row>
    <row r="46" ht="38" customHeight="1" spans="1:4">
      <c r="A46" s="10" t="s">
        <v>52</v>
      </c>
      <c r="B46" s="11" t="s">
        <v>8</v>
      </c>
      <c r="C46" s="10" t="s">
        <v>9</v>
      </c>
      <c r="D46" s="12">
        <v>46246.5541337616</v>
      </c>
    </row>
    <row r="47" ht="38" customHeight="1" spans="1:4">
      <c r="A47" s="10" t="s">
        <v>53</v>
      </c>
      <c r="B47" s="11" t="s">
        <v>8</v>
      </c>
      <c r="C47" s="10" t="s">
        <v>9</v>
      </c>
      <c r="D47" s="12">
        <v>46246.5541337616</v>
      </c>
    </row>
    <row r="48" ht="38" customHeight="1" spans="1:4">
      <c r="A48" s="10" t="s">
        <v>54</v>
      </c>
      <c r="B48" s="11" t="s">
        <v>8</v>
      </c>
      <c r="C48" s="10" t="s">
        <v>9</v>
      </c>
      <c r="D48" s="12">
        <v>46246.5541337616</v>
      </c>
    </row>
    <row r="49" ht="38" customHeight="1" spans="1:4">
      <c r="A49" s="10" t="s">
        <v>55</v>
      </c>
      <c r="B49" s="11" t="s">
        <v>8</v>
      </c>
      <c r="C49" s="10" t="s">
        <v>9</v>
      </c>
      <c r="D49" s="12">
        <v>46246.5541337616</v>
      </c>
    </row>
    <row r="50" ht="38" customHeight="1" spans="1:4">
      <c r="A50" s="10" t="s">
        <v>56</v>
      </c>
      <c r="B50" s="11" t="s">
        <v>8</v>
      </c>
      <c r="C50" s="10" t="s">
        <v>9</v>
      </c>
      <c r="D50" s="12">
        <v>46246.5541337616</v>
      </c>
    </row>
    <row r="51" ht="38" customHeight="1" spans="1:4">
      <c r="A51" s="10" t="s">
        <v>57</v>
      </c>
      <c r="B51" s="11" t="s">
        <v>8</v>
      </c>
      <c r="C51" s="10" t="s">
        <v>9</v>
      </c>
      <c r="D51" s="12">
        <v>46246.5541337616</v>
      </c>
    </row>
    <row r="52" ht="38" customHeight="1" spans="1:4">
      <c r="A52" s="10" t="s">
        <v>58</v>
      </c>
      <c r="B52" s="11" t="s">
        <v>8</v>
      </c>
      <c r="C52" s="10" t="s">
        <v>9</v>
      </c>
      <c r="D52" s="12">
        <v>46246.5541337616</v>
      </c>
    </row>
    <row r="53" ht="38" customHeight="1" spans="1:4">
      <c r="A53" s="10" t="s">
        <v>59</v>
      </c>
      <c r="B53" s="11" t="s">
        <v>8</v>
      </c>
      <c r="C53" s="10" t="s">
        <v>9</v>
      </c>
      <c r="D53" s="12">
        <v>46246.5541337616</v>
      </c>
    </row>
    <row r="54" ht="38" customHeight="1" spans="1:4">
      <c r="A54" s="10" t="s">
        <v>60</v>
      </c>
      <c r="B54" s="11" t="s">
        <v>8</v>
      </c>
      <c r="C54" s="10" t="s">
        <v>9</v>
      </c>
      <c r="D54" s="12">
        <v>46246.5541337616</v>
      </c>
    </row>
    <row r="55" ht="38" customHeight="1" spans="1:4">
      <c r="A55" s="10" t="s">
        <v>61</v>
      </c>
      <c r="B55" s="11" t="s">
        <v>8</v>
      </c>
      <c r="C55" s="10" t="s">
        <v>9</v>
      </c>
      <c r="D55" s="12">
        <v>46246.5541337616</v>
      </c>
    </row>
    <row r="56" ht="38" customHeight="1" spans="1:4">
      <c r="A56" s="10" t="s">
        <v>62</v>
      </c>
      <c r="B56" s="11" t="s">
        <v>8</v>
      </c>
      <c r="C56" s="10" t="s">
        <v>9</v>
      </c>
      <c r="D56" s="12">
        <v>46246.5541337616</v>
      </c>
    </row>
    <row r="57" ht="38" customHeight="1" spans="1:4">
      <c r="A57" s="13" t="s">
        <v>63</v>
      </c>
      <c r="B57" s="14" t="s">
        <v>8</v>
      </c>
      <c r="C57" s="13" t="s">
        <v>9</v>
      </c>
      <c r="D57" s="15">
        <v>46246.5541337616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showGridLines="0" workbookViewId="0">
      <selection activeCell="A1" sqref="A1:D1"/>
    </sheetView>
  </sheetViews>
  <sheetFormatPr defaultColWidth="9" defaultRowHeight="16.8" outlineLevelRow="6" outlineLevelCol="3"/>
  <cols>
    <col min="1" max="1" width="28" customWidth="1"/>
    <col min="2" max="2" width="16" customWidth="1"/>
    <col min="3" max="4" width="4" customWidth="1"/>
  </cols>
  <sheetData>
    <row r="1" ht="34" customHeight="1" spans="1:4">
      <c r="A1" s="1" t="s">
        <v>64</v>
      </c>
      <c r="B1" s="1"/>
      <c r="C1" s="1"/>
      <c r="D1" s="1"/>
    </row>
    <row r="3" ht="28" customHeight="1" spans="1:4">
      <c r="A3" s="2" t="s">
        <v>65</v>
      </c>
      <c r="B3" s="3">
        <f>COUNTA(失败明细!$A$2:$A$57)</f>
        <v>56</v>
      </c>
    </row>
    <row r="5" ht="25" customHeight="1" spans="1:4">
      <c r="A5" s="4" t="s">
        <v>1</v>
      </c>
      <c r="B5" s="4" t="s">
        <v>66</v>
      </c>
    </row>
    <row r="6" spans="1:4">
      <c r="A6" s="5" t="s">
        <v>8</v>
      </c>
      <c r="B6" s="6">
        <f>COUNTIF(失败明细!$B$2:$B$57,A6)</f>
        <v>55</v>
      </c>
    </row>
    <row r="7" spans="1:4">
      <c r="A7" s="7" t="s">
        <v>5</v>
      </c>
      <c r="B7" s="8">
        <f>COUNTIF(失败明细!$B$2:$B$57,A7)</f>
        <v>1</v>
      </c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失败明细</vt:lpstr>
      <vt:lpstr>错误汇总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陈宇安</cp:lastModifiedBy>
  <dcterms:created xsi:type="dcterms:W3CDTF">2026-08-12T21:29:33Z</dcterms:created>
  <dcterms:modified xsi:type="dcterms:W3CDTF">2026-08-12T21:30:58Z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BEBDF45FF82D20A792757C6A100F07B6_42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